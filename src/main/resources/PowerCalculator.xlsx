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 &amp; Power Calculation" sheetId="1" r:id="rId5"/>
    <sheet state="visible" name="Stats &amp; Power Calculation (Old " sheetId="2" r:id="rId6"/>
    <sheet state="visible" name="Sigil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">
      <text>
        <t xml:space="preserve">= ((Survival Time Without Regeneration / Regeneration Small Interval) (FLOOR) * Health Regeneration / Regeneration Interval * Regeneration Small Interval) * (1 - Grievous Wounds)
Use FLOOR to ensure it does not regenerate when already dead, although in some cases it might.</t>
      </text>
    </comment>
    <comment authorId="0" ref="L4">
      <text>
        <t xml:space="preserve">= Exact-Hit Survival Time + (Turns To Kill With Regeneration - 1) * Delay Hit</t>
      </text>
    </comment>
    <comment authorId="0" ref="B5">
      <text>
        <t xml:space="preserve">Restores health every 5 seconds</t>
      </text>
    </comment>
    <comment authorId="0" ref="G5">
      <text>
        <t xml:space="preserve">Scale by Max Health
Factor: 2 (10 seconds) * 75% (Affect Percent)
Combat Time AVG: 10 seconds
</t>
      </text>
    </comment>
    <comment authorId="0" ref="L5">
      <text>
        <t xml:space="preserve">= Exact-Hit Survival Time + (Turns To Kill Without Regeneration - 1) * Delay Hit</t>
      </text>
    </comment>
    <comment authorId="0" ref="J7">
      <text>
        <t xml:space="preserve">Exact Hit = Hacker Hit / Pro Hit</t>
      </text>
    </comment>
    <comment authorId="0" ref="L7">
      <text>
        <t xml:space="preserve">= Attack Speed * Turns To Kill Without Regeneration</t>
      </text>
    </comment>
    <comment authorId="0" ref="C8">
      <text>
        <t xml:space="preserve">Default Vanilla Value: 0.10000000149011612</t>
      </text>
    </comment>
    <comment authorId="0" ref="L8">
      <text>
        <t xml:space="preserve">= Attack Speed * Turns To Kill Without Regeneration</t>
      </text>
    </comment>
    <comment authorId="0" ref="G15">
      <text>
        <t xml:space="preserve">Scale By Attack Damage</t>
      </text>
    </comment>
    <comment authorId="0" ref="L15">
      <text>
        <t xml:space="preserve">= ((Total Health + Total Health Regenerated Before Death) / Final Damage After Reduction) * Bonus Miss Hit (CEILING)</t>
      </text>
    </comment>
    <comment authorId="0" ref="L16">
      <text>
        <t xml:space="preserve">= (Total Health / Final Damage After Reduction) * Bonus Miss Hit (CEILING)</t>
      </text>
    </comment>
    <comment authorId="0" ref="B18">
      <text>
        <t xml:space="preserve">Player Entity Interaction Range</t>
      </text>
    </comment>
    <comment authorId="0" ref="L18">
      <text>
        <t xml:space="preserve">= No Crit DPS * (1 + ((Critical Damage - 1) * Critical Chance)) * Absolute Hit</t>
      </text>
    </comment>
    <comment authorId="0" ref="L19">
      <text>
        <t xml:space="preserve">= Attack Damage * Attack Speed</t>
      </text>
    </comment>
    <comment authorId="0" ref="L20">
      <text>
        <t xml:space="preserve">= Final DPS * Life Steal</t>
      </text>
    </comment>
    <comment authorId="0" ref="L21">
      <text>
        <t xml:space="preserve">= 1 - Dodge Chance + Accuracy Chance</t>
      </text>
    </comment>
    <comment authorId="0" ref="B26">
      <text>
        <t xml:space="preserve">Regenerates health in small ticks per interval (e.g., 0.2s ticks over 5s)
For example, if the total regeneration is 10 HP over 5 seconds, with a 0.2s interval, 0.4 HP is restored every 0.2 seconds.</t>
      </text>
    </comment>
    <comment authorId="0" ref="B27">
      <text>
        <t xml:space="preserve">Time gap between hits
</t>
      </text>
    </comment>
    <comment authorId="0" ref="L27">
      <text>
        <t xml:space="preserve">Attacker Win &gt; 50% 
Defense Win &lt; 50%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">
      <text>
        <t xml:space="preserve">= ((Survival Time Without Regeneration / Regeneration Small Interval) (FLOOR) * Health Regeneration / Regeneration Interval * Regeneration Small Interval) * (1 - Grievous Wounds)
Use FLOOR to ensure it does not regenerate when already dead, although in some cases it might.</t>
      </text>
    </comment>
    <comment authorId="0" ref="L4">
      <text>
        <t xml:space="preserve">= Exact-Hit Survival Time + (Turns To Kill With Regeneration - 1) * Delay Hit</t>
      </text>
    </comment>
    <comment authorId="0" ref="B5">
      <text>
        <t xml:space="preserve">Restores health every 5 seconds</t>
      </text>
    </comment>
    <comment authorId="0" ref="G5">
      <text>
        <t xml:space="preserve">Scale by Max Health
Factor: 2 (10 seconds) * 75% (Affect Percent)
Combat Time AVG: 10 seconds
</t>
      </text>
    </comment>
    <comment authorId="0" ref="L5">
      <text>
        <t xml:space="preserve">= Exact-Hit Survival Time + (Turns To Kill Without Regeneration - 1) * Delay Hit</t>
      </text>
    </comment>
    <comment authorId="0" ref="J7">
      <text>
        <t xml:space="preserve">Exact Hit = Hacker Hit / Pro Hit</t>
      </text>
    </comment>
    <comment authorId="0" ref="L7">
      <text>
        <t xml:space="preserve">= Attack Speed * Turns To Kill Without Regeneration</t>
      </text>
    </comment>
    <comment authorId="0" ref="L8">
      <text>
        <t xml:space="preserve">= Attack Speed * Turns To Kill Without Regeneration</t>
      </text>
    </comment>
    <comment authorId="0" ref="C9">
      <text>
        <t xml:space="preserve">Default Vanilla Value: 0.10000000149011612</t>
      </text>
    </comment>
    <comment authorId="0" ref="L15">
      <text>
        <t xml:space="preserve">= ((Total Health + Total Health Regenerated Before Death) / Final Damage After Reduction) * Bonus Miss Hit (CEILING)</t>
      </text>
    </comment>
    <comment authorId="0" ref="G16">
      <text>
        <t xml:space="preserve">Scale By Attack Damage</t>
      </text>
    </comment>
    <comment authorId="0" ref="L16">
      <text>
        <t xml:space="preserve">= (Total Health / Final Damage After Reduction) * Bonus Miss Hit (CEILING)</t>
      </text>
    </comment>
    <comment authorId="0" ref="L18">
      <text>
        <t xml:space="preserve">= No Crit DPS * (1 + ((Critical Damage - 1) * Critical Chance)) * Absolute Hit</t>
      </text>
    </comment>
    <comment authorId="0" ref="B19">
      <text>
        <t xml:space="preserve">Player Entity Interaction Range</t>
      </text>
    </comment>
    <comment authorId="0" ref="L19">
      <text>
        <t xml:space="preserve">= Attack Damage * Attack Speed</t>
      </text>
    </comment>
    <comment authorId="0" ref="L20">
      <text>
        <t xml:space="preserve">= Final DPS * Life Steal</t>
      </text>
    </comment>
    <comment authorId="0" ref="L21">
      <text>
        <t xml:space="preserve">= 1 - Dodge Chance + Accuracy Chance</t>
      </text>
    </comment>
    <comment authorId="0" ref="B27">
      <text>
        <t xml:space="preserve">Regenerates health in small ticks per interval (e.g., 0.2s ticks over 5s)
For example, if the total regeneration is 10 HP over 5 seconds, with a 0.2s interval, 0.4 HP is restored every 0.2 seconds.</t>
      </text>
    </comment>
    <comment authorId="0" ref="L27">
      <text>
        <t xml:space="preserve">Attacker Win &gt; 50% 
Defense Win &lt; 50% </t>
      </text>
    </comment>
    <comment authorId="0" ref="B28">
      <text>
        <t xml:space="preserve">Time gap between hits
</t>
      </text>
    </comment>
  </commentList>
</comments>
</file>

<file path=xl/sharedStrings.xml><?xml version="1.0" encoding="utf-8"?>
<sst xmlns="http://schemas.openxmlformats.org/spreadsheetml/2006/main" count="192" uniqueCount="92">
  <si>
    <t>General Stats</t>
  </si>
  <si>
    <t>Power</t>
  </si>
  <si>
    <t>Detail Stats</t>
  </si>
  <si>
    <t>Tier</t>
  </si>
  <si>
    <t>Type</t>
  </si>
  <si>
    <t>Stats</t>
  </si>
  <si>
    <t>Default Value</t>
  </si>
  <si>
    <t>Value</t>
  </si>
  <si>
    <t>Per</t>
  </si>
  <si>
    <t>Total</t>
  </si>
  <si>
    <t>From</t>
  </si>
  <si>
    <t>To</t>
  </si>
  <si>
    <t>Defense</t>
  </si>
  <si>
    <t>Max Health</t>
  </si>
  <si>
    <t>Total Health Regenerated Before Death</t>
  </si>
  <si>
    <t>SSS</t>
  </si>
  <si>
    <t>Max Absorption</t>
  </si>
  <si>
    <t>Survival Time (s)</t>
  </si>
  <si>
    <t>With Regeneration</t>
  </si>
  <si>
    <t>SS</t>
  </si>
  <si>
    <t>Health Regeneration</t>
  </si>
  <si>
    <t>Without Regeneration</t>
  </si>
  <si>
    <t>S+</t>
  </si>
  <si>
    <t>Armor</t>
  </si>
  <si>
    <t>Diff Time</t>
  </si>
  <si>
    <t>S</t>
  </si>
  <si>
    <t>Damage Reduction</t>
  </si>
  <si>
    <t>Exact-Hit Survival Time (s)</t>
  </si>
  <si>
    <t>A</t>
  </si>
  <si>
    <t>Movement Speed</t>
  </si>
  <si>
    <t>B</t>
  </si>
  <si>
    <t>Dodge Chance</t>
  </si>
  <si>
    <t>C</t>
  </si>
  <si>
    <t>Slow Resistance</t>
  </si>
  <si>
    <t>Final Damage After Reduction</t>
  </si>
  <si>
    <t>D</t>
  </si>
  <si>
    <t>Magic Resistance</t>
  </si>
  <si>
    <t>Armor Damage Reduction</t>
  </si>
  <si>
    <t>E</t>
  </si>
  <si>
    <t>Attack</t>
  </si>
  <si>
    <t>Attack Damage</t>
  </si>
  <si>
    <t>Armor After Penetration</t>
  </si>
  <si>
    <t>F</t>
  </si>
  <si>
    <t>Attack Speed</t>
  </si>
  <si>
    <t>Total Health</t>
  </si>
  <si>
    <t>Critical Damage (Multiply)</t>
  </si>
  <si>
    <t>Critical Chance</t>
  </si>
  <si>
    <t>Turns To Kill</t>
  </si>
  <si>
    <t>Armor Penetration</t>
  </si>
  <si>
    <t>Life Steal</t>
  </si>
  <si>
    <t>Diff Turn</t>
  </si>
  <si>
    <t>Attack Range</t>
  </si>
  <si>
    <t>Final DPS</t>
  </si>
  <si>
    <t>Aoe Range</t>
  </si>
  <si>
    <t>No Crit DPS</t>
  </si>
  <si>
    <t>Aoe Damage Ratio</t>
  </si>
  <si>
    <t>Life Steal HP</t>
  </si>
  <si>
    <t>Accuracy Chance</t>
  </si>
  <si>
    <t>Absolute Hit</t>
  </si>
  <si>
    <t>Grievous Wounds</t>
  </si>
  <si>
    <t>Other</t>
  </si>
  <si>
    <t>Vulnerability</t>
  </si>
  <si>
    <t>Mining Power</t>
  </si>
  <si>
    <t>Combat Type</t>
  </si>
  <si>
    <t>Regeneration Interval (s)</t>
  </si>
  <si>
    <t>Defense Power</t>
  </si>
  <si>
    <t>Regeneration Small Interval (s)</t>
  </si>
  <si>
    <t>Attack Power</t>
  </si>
  <si>
    <t>Delay Hit (seconds)</t>
  </si>
  <si>
    <t>Win Combat Percentage</t>
  </si>
  <si>
    <t>Miss Hit</t>
  </si>
  <si>
    <t>Armor Toughness</t>
  </si>
  <si>
    <t>Sigil</t>
  </si>
  <si>
    <t>Knight</t>
  </si>
  <si>
    <t>Fighter</t>
  </si>
  <si>
    <t>Archer</t>
  </si>
  <si>
    <t>Assassin</t>
  </si>
  <si>
    <t>Poseidon</t>
  </si>
  <si>
    <t>Reaper</t>
  </si>
  <si>
    <t>Striker</t>
  </si>
  <si>
    <t>Dancer Blade</t>
  </si>
  <si>
    <t>Tag</t>
  </si>
  <si>
    <t>Tank, Ranged</t>
  </si>
  <si>
    <t>Tank, Rage</t>
  </si>
  <si>
    <t>Ranged, Curse</t>
  </si>
  <si>
    <t>Rage, Curse</t>
  </si>
  <si>
    <t>Tank, Control</t>
  </si>
  <si>
    <t>Curse, Magic</t>
  </si>
  <si>
    <t>Control, Rage</t>
  </si>
  <si>
    <t>Ranged, Control</t>
  </si>
  <si>
    <t>Star</t>
  </si>
  <si>
    <t>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</si>
</sst>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%"/>
  </numFmts>
  <fonts count="43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b/>
      <color theme="0"/>
      <name val="Arial"/>
      <scheme val="minor"/>
    </font>
    <font>
      <color rgb="FFCF5EEB"/>
      <name val="Arial"/>
      <scheme val="minor"/>
    </font>
    <font>
      <color theme="1"/>
      <name val="Arial"/>
      <scheme val="minor"/>
    </font>
    <font>
      <color rgb="FF66BB6A"/>
      <name val="Arial"/>
      <scheme val="minor"/>
    </font>
    <font>
      <color rgb="FFFF0000"/>
      <name val="Arial"/>
      <scheme val="minor"/>
    </font>
    <font>
      <color rgb="FFFCC200"/>
      <name val="Arial"/>
      <scheme val="minor"/>
    </font>
    <font>
      <color rgb="FF2ECC71"/>
      <name val="Arial"/>
      <scheme val="minor"/>
    </font>
    <font>
      <color rgb="FF00FF00"/>
      <name val="Arial"/>
      <scheme val="minor"/>
    </font>
    <font>
      <color rgb="FF31CB31"/>
      <name val="Arial"/>
      <scheme val="minor"/>
    </font>
    <font>
      <color rgb="FF0282C5"/>
      <name val="Arial"/>
      <scheme val="minor"/>
    </font>
    <font>
      <color theme="6"/>
      <name val="Arial"/>
      <scheme val="minor"/>
    </font>
    <font>
      <color theme="5"/>
      <name val="Arial"/>
      <scheme val="minor"/>
    </font>
    <font>
      <color rgb="FF637389"/>
      <name val="Arial"/>
      <scheme val="minor"/>
    </font>
    <font>
      <color theme="8"/>
      <name val="Arial"/>
      <scheme val="minor"/>
    </font>
    <font>
      <color rgb="FF88ECE8"/>
      <name val="Arial"/>
      <scheme val="minor"/>
    </font>
    <font>
      <color rgb="FFF29C0B"/>
      <name val="Arial"/>
      <scheme val="minor"/>
    </font>
    <font>
      <color theme="7"/>
      <name val="Arial"/>
      <scheme val="minor"/>
    </font>
    <font>
      <color rgb="FF00CADA"/>
      <name val="Arial"/>
      <scheme val="minor"/>
    </font>
    <font>
      <color rgb="FFFF6F61"/>
      <name val="Arial"/>
      <scheme val="minor"/>
    </font>
    <font>
      <color rgb="FF3EC1FC"/>
      <name val="Arial"/>
      <scheme val="minor"/>
    </font>
    <font>
      <color rgb="FF7D2FDE"/>
      <name val="Arial"/>
      <scheme val="minor"/>
    </font>
    <font>
      <color rgb="FF9900FF"/>
      <name val="Arial"/>
      <scheme val="minor"/>
    </font>
    <font>
      <color rgb="FFFC5454"/>
      <name val="Arial"/>
      <scheme val="minor"/>
    </font>
    <font>
      <color rgb="FFFF00FF"/>
      <name val="Arial"/>
      <scheme val="minor"/>
    </font>
    <font>
      <color rgb="FF00FC7D"/>
      <name val="Arial"/>
      <scheme val="minor"/>
    </font>
    <font>
      <color rgb="FFFC4400"/>
      <name val="Arial"/>
      <scheme val="minor"/>
    </font>
    <font>
      <color rgb="FFFCD400"/>
      <name val="Arial"/>
      <scheme val="minor"/>
    </font>
    <font>
      <color rgb="FFFFB400"/>
      <name val="Arial"/>
      <scheme val="minor"/>
    </font>
    <font>
      <color rgb="FF00BDFC"/>
      <name val="Arial"/>
      <scheme val="minor"/>
    </font>
    <font>
      <color rgb="FF890000"/>
      <name val="Arial"/>
      <scheme val="minor"/>
    </font>
    <font>
      <color rgb="FFFFFF00"/>
      <name val="Arial"/>
      <scheme val="minor"/>
    </font>
    <font>
      <color rgb="FFFC6A3E"/>
      <name val="Arial"/>
      <scheme val="minor"/>
    </font>
    <font>
      <color rgb="FF39FB00"/>
      <name val="Arial"/>
      <scheme val="minor"/>
    </font>
    <font>
      <color rgb="FFC89B42"/>
      <name val="Arial"/>
      <scheme val="minor"/>
    </font>
    <font>
      <color rgb="FFF5302E"/>
      <name val="Arial"/>
      <scheme val="minor"/>
    </font>
    <font>
      <color rgb="FFFC8600"/>
      <name val="Arial"/>
      <scheme val="minor"/>
    </font>
    <font>
      <color theme="4"/>
      <name val="Arial"/>
      <scheme val="minor"/>
    </font>
    <font>
      <color rgb="FFFBBC04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110210"/>
        <bgColor rgb="FF110210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F72326"/>
        <bgColor rgb="FFF72326"/>
      </patternFill>
    </fill>
    <fill>
      <patternFill patternType="solid">
        <fgColor rgb="FFEF704E"/>
        <bgColor rgb="FFEF704E"/>
      </patternFill>
    </fill>
    <fill>
      <patternFill patternType="solid">
        <fgColor rgb="FF6DC6FE"/>
        <bgColor rgb="FF6DC6FE"/>
      </patternFill>
    </fill>
    <fill>
      <patternFill patternType="solid">
        <fgColor rgb="FF5C9ABD"/>
        <bgColor rgb="FF5C9ABD"/>
      </patternFill>
    </fill>
    <fill>
      <patternFill patternType="solid">
        <fgColor rgb="FF00CCCC"/>
        <bgColor rgb="FF00CCCC"/>
      </patternFill>
    </fill>
    <fill>
      <patternFill patternType="solid">
        <fgColor rgb="FF76023F"/>
        <bgColor rgb="FF76023F"/>
      </patternFill>
    </fill>
    <fill>
      <patternFill patternType="solid">
        <fgColor rgb="FF9BF903"/>
        <bgColor rgb="FF9BF903"/>
      </patternFill>
    </fill>
    <fill>
      <patternFill patternType="solid">
        <fgColor rgb="FF9D00FA"/>
        <bgColor rgb="FF9D00FA"/>
      </patternFill>
    </fill>
    <fill>
      <patternFill patternType="solid">
        <fgColor rgb="FFFCD400"/>
        <bgColor rgb="FFFCD400"/>
      </patternFill>
    </fill>
    <fill>
      <patternFill patternType="solid">
        <fgColor rgb="FFFFFF00"/>
        <bgColor rgb="FFFFFF00"/>
      </patternFill>
    </fill>
    <fill>
      <patternFill patternType="solid">
        <fgColor rgb="FFCF5EEB"/>
        <bgColor rgb="FFCF5EEB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6" fillId="0" fontId="2" numFmtId="0" xfId="0" applyBorder="1" applyFont="1"/>
    <xf borderId="3" fillId="2" fontId="1" numFmtId="0" xfId="0" applyAlignment="1" applyBorder="1" applyFont="1">
      <alignment horizontal="center" readingOrder="0" vertical="center"/>
    </xf>
    <xf borderId="4" fillId="3" fontId="3" numFmtId="0" xfId="0" applyAlignment="1" applyBorder="1" applyFill="1" applyFont="1">
      <alignment horizontal="center" readingOrder="0" vertical="center"/>
    </xf>
    <xf borderId="5" fillId="4" fontId="4" numFmtId="0" xfId="0" applyAlignment="1" applyBorder="1" applyFill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readingOrder="0"/>
    </xf>
    <xf borderId="5" fillId="0" fontId="5" numFmtId="1" xfId="0" applyAlignment="1" applyBorder="1" applyFont="1" applyNumberFormat="1">
      <alignment readingOrder="0"/>
    </xf>
    <xf borderId="1" fillId="4" fontId="6" numFmtId="0" xfId="0" applyAlignment="1" applyBorder="1" applyFont="1">
      <alignment readingOrder="0"/>
    </xf>
    <xf borderId="5" fillId="0" fontId="5" numFmtId="0" xfId="0" applyBorder="1" applyFont="1"/>
    <xf borderId="5" fillId="4" fontId="7" numFmtId="0" xfId="0" applyAlignment="1" applyBorder="1" applyFont="1">
      <alignment horizontal="center" readingOrder="0" vertical="center"/>
    </xf>
    <xf borderId="7" fillId="0" fontId="2" numFmtId="0" xfId="0" applyBorder="1" applyFont="1"/>
    <xf borderId="5" fillId="4" fontId="8" numFmtId="0" xfId="0" applyAlignment="1" applyBorder="1" applyFont="1">
      <alignment horizontal="center" readingOrder="0" vertical="center"/>
    </xf>
    <xf borderId="4" fillId="4" fontId="9" numFmtId="0" xfId="0" applyAlignment="1" applyBorder="1" applyFont="1">
      <alignment readingOrder="0" vertical="center"/>
    </xf>
    <xf borderId="5" fillId="4" fontId="10" numFmtId="0" xfId="0" applyAlignment="1" applyBorder="1" applyFont="1">
      <alignment readingOrder="0" vertical="center"/>
    </xf>
    <xf borderId="5" fillId="0" fontId="5" numFmtId="2" xfId="0" applyBorder="1" applyFont="1" applyNumberFormat="1"/>
    <xf borderId="5" fillId="4" fontId="11" numFmtId="0" xfId="0" applyAlignment="1" applyBorder="1" applyFont="1">
      <alignment horizontal="center" readingOrder="0" vertical="center"/>
    </xf>
    <xf borderId="5" fillId="0" fontId="5" numFmtId="9" xfId="0" applyAlignment="1" applyBorder="1" applyFont="1" applyNumberFormat="1">
      <alignment readingOrder="0"/>
    </xf>
    <xf borderId="5" fillId="4" fontId="7" numFmtId="0" xfId="0" applyAlignment="1" applyBorder="1" applyFont="1">
      <alignment readingOrder="0" vertical="center"/>
    </xf>
    <xf borderId="5" fillId="4" fontId="12" numFmtId="0" xfId="0" applyAlignment="1" applyBorder="1" applyFont="1">
      <alignment horizontal="center" readingOrder="0" vertical="center"/>
    </xf>
    <xf borderId="5" fillId="0" fontId="5" numFmtId="1" xfId="0" applyBorder="1" applyFont="1" applyNumberFormat="1"/>
    <xf borderId="5" fillId="4" fontId="13" numFmtId="0" xfId="0" applyAlignment="1" applyBorder="1" applyFont="1">
      <alignment readingOrder="0"/>
    </xf>
    <xf borderId="5" fillId="0" fontId="5" numFmtId="164" xfId="0" applyBorder="1" applyFont="1" applyNumberFormat="1"/>
    <xf borderId="5" fillId="4" fontId="14" numFmtId="0" xfId="0" applyAlignment="1" applyBorder="1" applyFont="1">
      <alignment horizontal="center" readingOrder="0" vertical="center"/>
    </xf>
    <xf borderId="5" fillId="4" fontId="15" numFmtId="0" xfId="0" applyAlignment="1" applyBorder="1" applyFont="1">
      <alignment horizontal="center" readingOrder="0" vertical="center"/>
    </xf>
    <xf borderId="5" fillId="0" fontId="5" numFmtId="9" xfId="0" applyAlignment="1" applyBorder="1" applyFont="1" applyNumberFormat="1">
      <alignment horizontal="center" readingOrder="0" vertical="center"/>
    </xf>
    <xf borderId="5" fillId="4" fontId="16" numFmtId="0" xfId="0" applyAlignment="1" applyBorder="1" applyFont="1">
      <alignment horizontal="center" readingOrder="0" vertical="center"/>
    </xf>
    <xf borderId="5" fillId="4" fontId="17" numFmtId="0" xfId="0" applyAlignment="1" applyBorder="1" applyFont="1">
      <alignment horizontal="center" readingOrder="0" vertical="center"/>
    </xf>
    <xf borderId="5" fillId="4" fontId="13" numFmtId="0" xfId="0" applyAlignment="1" applyBorder="1" applyFont="1">
      <alignment horizontal="center" readingOrder="0" vertical="center"/>
    </xf>
    <xf borderId="5" fillId="4" fontId="18" numFmtId="0" xfId="0" applyAlignment="1" applyBorder="1" applyFont="1">
      <alignment horizontal="center" readingOrder="0" vertical="center"/>
    </xf>
    <xf borderId="5" fillId="0" fontId="5" numFmtId="165" xfId="0" applyAlignment="1" applyBorder="1" applyFont="1" applyNumberFormat="1">
      <alignment readingOrder="0"/>
    </xf>
    <xf borderId="5" fillId="4" fontId="19" numFmtId="0" xfId="0" applyAlignment="1" applyBorder="1" applyFont="1">
      <alignment horizontal="center" readingOrder="0" vertical="center"/>
    </xf>
    <xf borderId="5" fillId="4" fontId="20" numFmtId="0" xfId="0" applyAlignment="1" applyBorder="1" applyFont="1">
      <alignment horizontal="center" readingOrder="0" vertical="center"/>
    </xf>
    <xf borderId="1" fillId="4" fontId="21" numFmtId="0" xfId="0" applyAlignment="1" applyBorder="1" applyFont="1">
      <alignment readingOrder="0"/>
    </xf>
    <xf borderId="5" fillId="4" fontId="22" numFmtId="0" xfId="0" applyAlignment="1" applyBorder="1" applyFont="1">
      <alignment horizontal="center" readingOrder="0" vertical="center"/>
    </xf>
    <xf borderId="5" fillId="4" fontId="23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readingOrder="0"/>
    </xf>
    <xf borderId="5" fillId="0" fontId="5" numFmtId="9" xfId="0" applyBorder="1" applyFont="1" applyNumberFormat="1"/>
    <xf borderId="5" fillId="4" fontId="24" numFmtId="0" xfId="0" applyAlignment="1" applyBorder="1" applyFont="1">
      <alignment horizontal="center" readingOrder="0" vertical="center"/>
    </xf>
    <xf borderId="4" fillId="5" fontId="3" numFmtId="0" xfId="0" applyAlignment="1" applyBorder="1" applyFill="1" applyFont="1">
      <alignment horizontal="center" readingOrder="0" vertical="center"/>
    </xf>
    <xf borderId="5" fillId="4" fontId="25" numFmtId="0" xfId="0" applyAlignment="1" applyBorder="1" applyFont="1">
      <alignment horizontal="center" readingOrder="0" vertical="center"/>
    </xf>
    <xf borderId="1" fillId="4" fontId="12" numFmtId="0" xfId="0" applyAlignment="1" applyBorder="1" applyFont="1">
      <alignment readingOrder="0"/>
    </xf>
    <xf borderId="5" fillId="4" fontId="26" numFmtId="0" xfId="0" applyAlignment="1" applyBorder="1" applyFont="1">
      <alignment horizontal="center" readingOrder="0" vertical="center"/>
    </xf>
    <xf borderId="5" fillId="4" fontId="27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readingOrder="0"/>
    </xf>
    <xf borderId="5" fillId="4" fontId="28" numFmtId="0" xfId="0" applyAlignment="1" applyBorder="1" applyFont="1">
      <alignment horizontal="center" readingOrder="0" vertical="center"/>
    </xf>
    <xf borderId="5" fillId="4" fontId="29" numFmtId="0" xfId="0" applyAlignment="1" applyBorder="1" applyFont="1">
      <alignment horizontal="center" readingOrder="0" vertical="center"/>
    </xf>
    <xf borderId="4" fillId="4" fontId="30" numFmtId="0" xfId="0" applyAlignment="1" applyBorder="1" applyFont="1">
      <alignment readingOrder="0" vertical="center"/>
    </xf>
    <xf borderId="5" fillId="4" fontId="31" numFmtId="0" xfId="0" applyAlignment="1" applyBorder="1" applyFont="1">
      <alignment horizontal="center" readingOrder="0" vertical="center"/>
    </xf>
    <xf borderId="5" fillId="0" fontId="5" numFmtId="10" xfId="0" applyAlignment="1" applyBorder="1" applyFont="1" applyNumberFormat="1">
      <alignment readingOrder="0"/>
    </xf>
    <xf borderId="5" fillId="4" fontId="32" numFmtId="0" xfId="0" applyAlignment="1" applyBorder="1" applyFont="1">
      <alignment horizontal="center" readingOrder="0" vertical="center"/>
    </xf>
    <xf borderId="5" fillId="4" fontId="8" numFmtId="0" xfId="0" applyAlignment="1" applyBorder="1" applyFont="1">
      <alignment readingOrder="0"/>
    </xf>
    <xf borderId="1" fillId="4" fontId="33" numFmtId="0" xfId="0" applyAlignment="1" applyBorder="1" applyFont="1">
      <alignment readingOrder="0"/>
    </xf>
    <xf borderId="5" fillId="4" fontId="34" numFmtId="0" xfId="0" applyAlignment="1" applyBorder="1" applyFont="1">
      <alignment horizontal="center" readingOrder="0" vertical="center"/>
    </xf>
    <xf borderId="5" fillId="4" fontId="35" numFmtId="0" xfId="0" applyAlignment="1" applyBorder="1" applyFont="1">
      <alignment horizontal="center" readingOrder="0" vertical="center"/>
    </xf>
    <xf borderId="1" fillId="4" fontId="10" numFmtId="0" xfId="0" applyAlignment="1" applyBorder="1" applyFont="1">
      <alignment readingOrder="0"/>
    </xf>
    <xf borderId="5" fillId="4" fontId="36" numFmtId="0" xfId="0" applyAlignment="1" applyBorder="1" applyFont="1">
      <alignment horizontal="center" readingOrder="0" vertical="center"/>
    </xf>
    <xf borderId="4" fillId="6" fontId="3" numFmtId="0" xfId="0" applyAlignment="1" applyBorder="1" applyFill="1" applyFont="1">
      <alignment horizontal="center" readingOrder="0" vertical="center"/>
    </xf>
    <xf borderId="5" fillId="4" fontId="37" numFmtId="0" xfId="0" applyAlignment="1" applyBorder="1" applyFont="1">
      <alignment horizontal="center" readingOrder="0" vertical="center"/>
    </xf>
    <xf borderId="5" fillId="4" fontId="38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/>
    </xf>
    <xf borderId="5" fillId="4" fontId="6" numFmtId="0" xfId="0" applyAlignment="1" applyBorder="1" applyFont="1">
      <alignment horizontal="center" readingOrder="0" vertical="center"/>
    </xf>
    <xf borderId="1" fillId="4" fontId="39" numFmtId="0" xfId="0" applyAlignment="1" applyBorder="1" applyFont="1">
      <alignment readingOrder="0"/>
    </xf>
    <xf borderId="1" fillId="4" fontId="14" numFmtId="0" xfId="0" applyAlignment="1" applyBorder="1" applyFont="1">
      <alignment readingOrder="0"/>
    </xf>
    <xf borderId="1" fillId="4" fontId="40" numFmtId="0" xfId="0" applyAlignment="1" applyBorder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5" fillId="7" fontId="3" numFmtId="0" xfId="0" applyAlignment="1" applyBorder="1" applyFill="1" applyFont="1">
      <alignment horizontal="center" readingOrder="0" vertical="center"/>
    </xf>
    <xf borderId="5" fillId="8" fontId="3" numFmtId="0" xfId="0" applyAlignment="1" applyBorder="1" applyFill="1" applyFont="1">
      <alignment horizontal="center" readingOrder="0" vertical="center"/>
    </xf>
    <xf borderId="5" fillId="9" fontId="3" numFmtId="0" xfId="0" applyAlignment="1" applyBorder="1" applyFill="1" applyFont="1">
      <alignment horizontal="center" readingOrder="0" vertical="center"/>
    </xf>
    <xf borderId="5" fillId="10" fontId="3" numFmtId="0" xfId="0" applyAlignment="1" applyBorder="1" applyFill="1" applyFont="1">
      <alignment horizontal="center" readingOrder="0" vertical="center"/>
    </xf>
    <xf borderId="5" fillId="11" fontId="3" numFmtId="0" xfId="0" applyAlignment="1" applyBorder="1" applyFill="1" applyFont="1">
      <alignment horizontal="center" readingOrder="0" vertical="center"/>
    </xf>
    <xf borderId="5" fillId="12" fontId="3" numFmtId="0" xfId="0" applyAlignment="1" applyBorder="1" applyFill="1" applyFont="1">
      <alignment horizontal="center" readingOrder="0"/>
    </xf>
    <xf borderId="5" fillId="13" fontId="41" numFmtId="0" xfId="0" applyAlignment="1" applyBorder="1" applyFill="1" applyFont="1">
      <alignment horizontal="center" readingOrder="0"/>
    </xf>
    <xf borderId="5" fillId="14" fontId="3" numFmtId="0" xfId="0" applyAlignment="1" applyBorder="1" applyFill="1" applyFont="1">
      <alignment horizontal="center" readingOrder="0"/>
    </xf>
    <xf borderId="1" fillId="15" fontId="41" numFmtId="0" xfId="0" applyAlignment="1" applyBorder="1" applyFill="1" applyFont="1">
      <alignment horizontal="center" readingOrder="0" vertical="center"/>
    </xf>
    <xf borderId="5" fillId="0" fontId="5" numFmtId="0" xfId="0" applyAlignment="1" applyBorder="1" applyFont="1">
      <alignment readingOrder="0" shrinkToFit="0" wrapText="1"/>
    </xf>
    <xf borderId="5" fillId="15" fontId="41" numFmtId="0" xfId="0" applyAlignment="1" applyBorder="1" applyFont="1">
      <alignment horizontal="center" readingOrder="0" vertical="center"/>
    </xf>
    <xf borderId="5" fillId="16" fontId="42" numFmtId="0" xfId="0" applyAlignment="1" applyBorder="1" applyFill="1" applyFont="1">
      <alignment readingOrder="0"/>
    </xf>
    <xf borderId="4" fillId="17" fontId="1" numFmtId="0" xfId="0" applyAlignment="1" applyBorder="1" applyFill="1" applyFont="1">
      <alignment horizontal="center" readingOrder="0" vertical="center"/>
    </xf>
    <xf borderId="5" fillId="17" fontId="3" numFmtId="0" xfId="0" applyAlignment="1" applyBorder="1" applyFont="1">
      <alignment horizontal="center" readingOrder="0" vertical="center"/>
    </xf>
    <xf borderId="5" fillId="17" fontId="3" numFmtId="0" xfId="0" applyAlignment="1" applyBorder="1" applyFont="1">
      <alignment horizontal="center" readingOrder="0"/>
    </xf>
  </cellXfs>
  <cellStyles count="1">
    <cellStyle xfId="0" name="Normal" builtinId="0"/>
  </cellStyles>
  <dxfs count="6">
    <dxf>
      <font/>
      <fill>
        <patternFill patternType="solid">
          <fgColor rgb="FFFFB3B3"/>
          <bgColor rgb="FFFFB3B3"/>
        </patternFill>
      </fill>
      <border/>
    </dxf>
    <dxf>
      <font/>
      <fill>
        <patternFill patternType="solid">
          <fgColor rgb="FFFFD39B"/>
          <bgColor rgb="FFFFD39B"/>
        </patternFill>
      </fill>
      <border/>
    </dxf>
    <dxf>
      <font/>
      <fill>
        <patternFill patternType="solid">
          <fgColor rgb="FFC9F7B5"/>
          <bgColor rgb="FFC9F7B5"/>
        </patternFill>
      </fill>
      <border/>
    </dxf>
    <dxf>
      <font/>
      <fill>
        <patternFill patternType="solid">
          <fgColor rgb="FFB5D8FF"/>
          <bgColor rgb="FFB5D8FF"/>
        </patternFill>
      </fill>
      <border/>
    </dxf>
    <dxf>
      <font/>
      <fill>
        <patternFill patternType="solid">
          <fgColor rgb="FFDCC7FF"/>
          <bgColor rgb="FFDCC7FF"/>
        </patternFill>
      </fill>
      <border/>
    </dxf>
    <dxf>
      <font/>
      <fill>
        <patternFill patternType="solid">
          <fgColor rgb="FF637389"/>
          <bgColor rgb="FF63738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10" max="10" width="30.13"/>
    <col customWidth="1" min="11" max="11" width="17.13"/>
  </cols>
  <sheetData>
    <row r="1">
      <c r="A1" s="1" t="s">
        <v>0</v>
      </c>
      <c r="B1" s="2"/>
      <c r="C1" s="2"/>
      <c r="D1" s="3"/>
      <c r="E1" s="1" t="s">
        <v>1</v>
      </c>
      <c r="F1" s="2"/>
      <c r="G1" s="3"/>
      <c r="I1" s="1" t="s">
        <v>2</v>
      </c>
      <c r="J1" s="2"/>
      <c r="K1" s="2"/>
      <c r="L1" s="3"/>
      <c r="N1" s="4" t="s">
        <v>3</v>
      </c>
      <c r="O1" s="1" t="s">
        <v>1</v>
      </c>
      <c r="P1" s="3"/>
    </row>
    <row r="2">
      <c r="A2" s="5" t="s">
        <v>4</v>
      </c>
      <c r="B2" s="6" t="s">
        <v>5</v>
      </c>
      <c r="C2" s="5" t="s">
        <v>6</v>
      </c>
      <c r="D2" s="6" t="s">
        <v>7</v>
      </c>
      <c r="E2" s="5" t="s">
        <v>8</v>
      </c>
      <c r="F2" s="5" t="s">
        <v>7</v>
      </c>
      <c r="G2" s="5" t="s">
        <v>9</v>
      </c>
      <c r="I2" s="5" t="s">
        <v>4</v>
      </c>
      <c r="J2" s="7" t="s">
        <v>5</v>
      </c>
      <c r="K2" s="3"/>
      <c r="L2" s="5" t="s">
        <v>7</v>
      </c>
      <c r="N2" s="8"/>
      <c r="O2" s="1" t="s">
        <v>10</v>
      </c>
      <c r="P2" s="9" t="s">
        <v>11</v>
      </c>
    </row>
    <row r="3">
      <c r="A3" s="10" t="s">
        <v>12</v>
      </c>
      <c r="B3" s="11" t="s">
        <v>13</v>
      </c>
      <c r="C3" s="12">
        <v>20.0</v>
      </c>
      <c r="D3" s="12">
        <v>20.0</v>
      </c>
      <c r="E3" s="13">
        <v>1.0</v>
      </c>
      <c r="F3" s="13">
        <v>8.0</v>
      </c>
      <c r="G3" s="14">
        <f t="shared" ref="G3:G4" si="1">F3*D3/E3</f>
        <v>160</v>
      </c>
      <c r="I3" s="10" t="s">
        <v>12</v>
      </c>
      <c r="J3" s="15" t="s">
        <v>14</v>
      </c>
      <c r="K3" s="3"/>
      <c r="L3" s="16">
        <f>IF(L5&gt;=99999,99999,(FLOOR(L5/D26,1)*D5/D25*D26)*(1-D22))</f>
        <v>0</v>
      </c>
      <c r="N3" s="17" t="s">
        <v>15</v>
      </c>
      <c r="O3" s="13">
        <f t="shared" ref="O3:O11" si="2">P4</f>
        <v>60000</v>
      </c>
      <c r="P3" s="13">
        <v>100000.0</v>
      </c>
    </row>
    <row r="4">
      <c r="A4" s="18"/>
      <c r="B4" s="19" t="s">
        <v>16</v>
      </c>
      <c r="C4" s="12">
        <v>0.0</v>
      </c>
      <c r="D4" s="12">
        <v>0.0</v>
      </c>
      <c r="E4" s="13">
        <v>1.0</v>
      </c>
      <c r="F4" s="13">
        <v>10.0</v>
      </c>
      <c r="G4" s="14">
        <f t="shared" si="1"/>
        <v>0</v>
      </c>
      <c r="I4" s="18"/>
      <c r="J4" s="20" t="s">
        <v>17</v>
      </c>
      <c r="K4" s="21" t="s">
        <v>18</v>
      </c>
      <c r="L4" s="22">
        <f>IF(L7&gt;=99999,99999,L7+(L15-1)*D27)</f>
        <v>24.31</v>
      </c>
      <c r="N4" s="17" t="s">
        <v>19</v>
      </c>
      <c r="O4" s="13">
        <f t="shared" si="2"/>
        <v>40000</v>
      </c>
      <c r="P4" s="13">
        <v>60000.0</v>
      </c>
    </row>
    <row r="5">
      <c r="A5" s="18"/>
      <c r="B5" s="23" t="s">
        <v>20</v>
      </c>
      <c r="C5" s="12">
        <v>0.0</v>
      </c>
      <c r="D5" s="12">
        <v>0.0</v>
      </c>
      <c r="E5" s="24">
        <v>0.1</v>
      </c>
      <c r="F5" s="24">
        <v>0.1</v>
      </c>
      <c r="G5" s="14">
        <f>D5/D3/E5*F5*G3</f>
        <v>0</v>
      </c>
      <c r="I5" s="18"/>
      <c r="J5" s="18"/>
      <c r="K5" s="25" t="s">
        <v>21</v>
      </c>
      <c r="L5" s="22">
        <f>IF(L8&gt;=99999,99999,L8+(L16-1)*D27)</f>
        <v>24.31</v>
      </c>
      <c r="N5" s="17" t="s">
        <v>22</v>
      </c>
      <c r="O5" s="13">
        <f t="shared" si="2"/>
        <v>24000</v>
      </c>
      <c r="P5" s="13">
        <v>40000.0</v>
      </c>
    </row>
    <row r="6">
      <c r="A6" s="18"/>
      <c r="B6" s="26" t="s">
        <v>23</v>
      </c>
      <c r="C6" s="12">
        <v>0.0</v>
      </c>
      <c r="D6" s="12">
        <v>0.0</v>
      </c>
      <c r="E6" s="13"/>
      <c r="F6" s="24"/>
      <c r="G6" s="27">
        <f>sum(G3,G4,G5)*(D6/(100+D6))/0.18</f>
        <v>0</v>
      </c>
      <c r="I6" s="18"/>
      <c r="J6" s="8"/>
      <c r="K6" s="28" t="s">
        <v>24</v>
      </c>
      <c r="L6" s="29">
        <f>IF(L4&gt;=9999,99999,L4-L5)</f>
        <v>0</v>
      </c>
      <c r="N6" s="30" t="s">
        <v>25</v>
      </c>
      <c r="O6" s="13">
        <f t="shared" si="2"/>
        <v>16000</v>
      </c>
      <c r="P6" s="13">
        <v>24000.0</v>
      </c>
    </row>
    <row r="7">
      <c r="A7" s="18"/>
      <c r="B7" s="31" t="s">
        <v>26</v>
      </c>
      <c r="C7" s="32">
        <v>0.0</v>
      </c>
      <c r="D7" s="32">
        <v>0.0</v>
      </c>
      <c r="E7" s="24">
        <v>0.01</v>
      </c>
      <c r="F7" s="24">
        <v>0.01</v>
      </c>
      <c r="G7" s="27">
        <f>sum(G3:G6)*D7/E7*F7</f>
        <v>0</v>
      </c>
      <c r="I7" s="18"/>
      <c r="J7" s="20" t="s">
        <v>27</v>
      </c>
      <c r="K7" s="21" t="s">
        <v>18</v>
      </c>
      <c r="L7" s="22">
        <f>IF(D5/D25&gt;L10,99999,L15/D13)</f>
        <v>23.2</v>
      </c>
      <c r="N7" s="33" t="s">
        <v>28</v>
      </c>
      <c r="O7" s="13">
        <f t="shared" si="2"/>
        <v>8000</v>
      </c>
      <c r="P7" s="13">
        <v>16000.0</v>
      </c>
    </row>
    <row r="8">
      <c r="A8" s="18"/>
      <c r="B8" s="34" t="s">
        <v>29</v>
      </c>
      <c r="C8" s="32">
        <v>1.0</v>
      </c>
      <c r="D8" s="32">
        <v>1.0</v>
      </c>
      <c r="E8" s="16"/>
      <c r="F8" s="16"/>
      <c r="G8" s="27"/>
      <c r="I8" s="18"/>
      <c r="J8" s="18"/>
      <c r="K8" s="25" t="s">
        <v>21</v>
      </c>
      <c r="L8" s="22">
        <f>IF(L16&gt;=99999,99999,L16/D13)</f>
        <v>23.2</v>
      </c>
      <c r="N8" s="35" t="s">
        <v>30</v>
      </c>
      <c r="O8" s="13">
        <f t="shared" si="2"/>
        <v>5000</v>
      </c>
      <c r="P8" s="13">
        <v>8000.0</v>
      </c>
    </row>
    <row r="9">
      <c r="A9" s="18"/>
      <c r="B9" s="36" t="s">
        <v>31</v>
      </c>
      <c r="C9" s="12">
        <v>0.0</v>
      </c>
      <c r="D9" s="32">
        <v>0.0</v>
      </c>
      <c r="E9" s="24">
        <v>0.01</v>
      </c>
      <c r="F9" s="37">
        <v>0.005</v>
      </c>
      <c r="G9" s="27">
        <f>sum(G3:G6)*D9/E9*F9</f>
        <v>0</v>
      </c>
      <c r="I9" s="18"/>
      <c r="J9" s="8"/>
      <c r="K9" s="28" t="s">
        <v>24</v>
      </c>
      <c r="L9" s="29">
        <f>IF(L7&gt;=99999,99999,L7-L8)</f>
        <v>0</v>
      </c>
      <c r="N9" s="38" t="s">
        <v>32</v>
      </c>
      <c r="O9" s="13">
        <f t="shared" si="2"/>
        <v>4000</v>
      </c>
      <c r="P9" s="13">
        <v>5000.0</v>
      </c>
    </row>
    <row r="10">
      <c r="A10" s="18"/>
      <c r="B10" s="39" t="s">
        <v>33</v>
      </c>
      <c r="C10" s="32">
        <v>0.0</v>
      </c>
      <c r="D10" s="32">
        <v>0.0</v>
      </c>
      <c r="E10" s="16"/>
      <c r="F10" s="16"/>
      <c r="G10" s="27"/>
      <c r="I10" s="18"/>
      <c r="J10" s="40" t="s">
        <v>34</v>
      </c>
      <c r="K10" s="3"/>
      <c r="L10" s="29">
        <f>L18*(1-L11)*(1-D7)</f>
        <v>1</v>
      </c>
      <c r="N10" s="41" t="s">
        <v>35</v>
      </c>
      <c r="O10" s="13">
        <f t="shared" si="2"/>
        <v>3000</v>
      </c>
      <c r="P10" s="13">
        <v>4000.0</v>
      </c>
    </row>
    <row r="11">
      <c r="A11" s="8"/>
      <c r="B11" s="42" t="s">
        <v>36</v>
      </c>
      <c r="C11" s="32">
        <v>0.0</v>
      </c>
      <c r="D11" s="32">
        <v>0.0</v>
      </c>
      <c r="E11" s="16"/>
      <c r="F11" s="16"/>
      <c r="G11" s="27"/>
      <c r="I11" s="18"/>
      <c r="J11" s="43" t="s">
        <v>37</v>
      </c>
      <c r="K11" s="3"/>
      <c r="L11" s="44">
        <f>L12/(100+L12)</f>
        <v>0</v>
      </c>
      <c r="N11" s="45" t="s">
        <v>38</v>
      </c>
      <c r="O11" s="13">
        <f t="shared" si="2"/>
        <v>2000</v>
      </c>
      <c r="P11" s="13">
        <v>3000.0</v>
      </c>
    </row>
    <row r="12">
      <c r="A12" s="46" t="s">
        <v>39</v>
      </c>
      <c r="B12" s="47" t="s">
        <v>40</v>
      </c>
      <c r="C12" s="12">
        <v>1.0</v>
      </c>
      <c r="D12" s="12">
        <v>1.0</v>
      </c>
      <c r="E12" s="13">
        <v>1.0</v>
      </c>
      <c r="F12" s="13">
        <v>100.0</v>
      </c>
      <c r="G12" s="14">
        <f>IF(D13&gt;1,F12*D13*D12/E12,F12*D13*D12/E12*F13)</f>
        <v>100</v>
      </c>
      <c r="I12" s="18"/>
      <c r="J12" s="48" t="s">
        <v>41</v>
      </c>
      <c r="K12" s="3"/>
      <c r="L12" s="16">
        <f>D6*(1-D16)</f>
        <v>0</v>
      </c>
      <c r="N12" s="49" t="s">
        <v>42</v>
      </c>
      <c r="O12" s="13">
        <v>0.0</v>
      </c>
      <c r="P12" s="13">
        <v>2000.0</v>
      </c>
    </row>
    <row r="13">
      <c r="A13" s="18"/>
      <c r="B13" s="50" t="s">
        <v>43</v>
      </c>
      <c r="C13" s="12">
        <v>4.0</v>
      </c>
      <c r="D13" s="12">
        <v>1.0</v>
      </c>
      <c r="E13" s="16"/>
      <c r="F13" s="13">
        <v>1.0</v>
      </c>
      <c r="G13" s="27"/>
      <c r="I13" s="18"/>
      <c r="J13" s="51" t="s">
        <v>44</v>
      </c>
      <c r="K13" s="3"/>
      <c r="L13" s="16">
        <f>D3+D4</f>
        <v>20</v>
      </c>
    </row>
    <row r="14">
      <c r="A14" s="18"/>
      <c r="B14" s="52" t="s">
        <v>45</v>
      </c>
      <c r="C14" s="12">
        <v>2.0</v>
      </c>
      <c r="D14" s="12">
        <v>2.0</v>
      </c>
      <c r="E14" s="16"/>
      <c r="F14" s="16"/>
      <c r="G14" s="27">
        <f>(D14-2)*G15</f>
        <v>0</v>
      </c>
      <c r="I14" s="18"/>
      <c r="J14" s="16"/>
      <c r="K14" s="16"/>
      <c r="L14" s="16"/>
    </row>
    <row r="15">
      <c r="A15" s="18"/>
      <c r="B15" s="53" t="s">
        <v>46</v>
      </c>
      <c r="C15" s="32">
        <v>0.0</v>
      </c>
      <c r="D15" s="32">
        <v>0.0</v>
      </c>
      <c r="E15" s="16"/>
      <c r="F15" s="16"/>
      <c r="G15" s="27">
        <f>G12*D15</f>
        <v>0</v>
      </c>
      <c r="I15" s="46" t="s">
        <v>39</v>
      </c>
      <c r="J15" s="54" t="s">
        <v>47</v>
      </c>
      <c r="K15" s="21" t="s">
        <v>18</v>
      </c>
      <c r="L15" s="29">
        <f>IF(L10&lt;=0,99999,CEILING(((L13+L3)/L10),1)*(1+D28))</f>
        <v>23.2</v>
      </c>
    </row>
    <row r="16">
      <c r="A16" s="18"/>
      <c r="B16" s="55" t="s">
        <v>48</v>
      </c>
      <c r="C16" s="32">
        <v>0.0</v>
      </c>
      <c r="D16" s="32">
        <v>0.0</v>
      </c>
      <c r="E16" s="24"/>
      <c r="F16" s="56"/>
      <c r="G16" s="27">
        <f>sum(G12:G15)*D16</f>
        <v>0</v>
      </c>
      <c r="I16" s="18"/>
      <c r="J16" s="18"/>
      <c r="K16" s="25" t="s">
        <v>21</v>
      </c>
      <c r="L16" s="29">
        <f>IF(L10&lt;=0,99999,CEILING(L13/L10,1)*(1+D28))</f>
        <v>23.2</v>
      </c>
    </row>
    <row r="17">
      <c r="A17" s="18"/>
      <c r="B17" s="57" t="s">
        <v>49</v>
      </c>
      <c r="C17" s="32">
        <v>0.0</v>
      </c>
      <c r="D17" s="32">
        <v>0.0</v>
      </c>
      <c r="E17" s="16"/>
      <c r="F17" s="16"/>
      <c r="G17" s="16"/>
      <c r="I17" s="18"/>
      <c r="J17" s="8"/>
      <c r="K17" s="58" t="s">
        <v>50</v>
      </c>
      <c r="L17" s="29">
        <f>L15-L16</f>
        <v>0</v>
      </c>
    </row>
    <row r="18">
      <c r="A18" s="18"/>
      <c r="B18" s="41" t="s">
        <v>51</v>
      </c>
      <c r="C18" s="12">
        <v>3.0</v>
      </c>
      <c r="D18" s="12">
        <v>3.0</v>
      </c>
      <c r="E18" s="16"/>
      <c r="F18" s="16"/>
      <c r="G18" s="16"/>
      <c r="I18" s="18"/>
      <c r="J18" s="43" t="s">
        <v>52</v>
      </c>
      <c r="K18" s="3"/>
      <c r="L18" s="16">
        <f>IF(L21&lt;=0,0,L19*(1+((D14-1)*D15))*(L21))</f>
        <v>1</v>
      </c>
    </row>
    <row r="19">
      <c r="A19" s="18"/>
      <c r="B19" s="41" t="s">
        <v>53</v>
      </c>
      <c r="C19" s="12">
        <v>0.0</v>
      </c>
      <c r="D19" s="12">
        <v>0.0</v>
      </c>
      <c r="E19" s="16"/>
      <c r="F19" s="16"/>
      <c r="G19" s="16"/>
      <c r="I19" s="18"/>
      <c r="J19" s="59" t="s">
        <v>54</v>
      </c>
      <c r="K19" s="3"/>
      <c r="L19" s="16">
        <f>D12*D13</f>
        <v>1</v>
      </c>
    </row>
    <row r="20">
      <c r="A20" s="18"/>
      <c r="B20" s="60" t="s">
        <v>55</v>
      </c>
      <c r="C20" s="32">
        <v>0.0</v>
      </c>
      <c r="D20" s="32">
        <v>0.0</v>
      </c>
      <c r="E20" s="16"/>
      <c r="F20" s="16"/>
      <c r="G20" s="16"/>
      <c r="I20" s="18"/>
      <c r="J20" s="43" t="s">
        <v>56</v>
      </c>
      <c r="K20" s="3"/>
      <c r="L20" s="16">
        <f>L18*D17</f>
        <v>0</v>
      </c>
    </row>
    <row r="21">
      <c r="A21" s="18"/>
      <c r="B21" s="61" t="s">
        <v>57</v>
      </c>
      <c r="C21" s="32">
        <v>0.0</v>
      </c>
      <c r="D21" s="32">
        <v>0.0</v>
      </c>
      <c r="E21" s="24">
        <v>0.01</v>
      </c>
      <c r="F21" s="37">
        <v>0.005</v>
      </c>
      <c r="G21" s="14">
        <f>SUM(G12,G14,G15)*D21/E21*F21</f>
        <v>0</v>
      </c>
      <c r="I21" s="18"/>
      <c r="J21" s="62" t="s">
        <v>58</v>
      </c>
      <c r="K21" s="3"/>
      <c r="L21" s="44">
        <f>MAX(1-D9+D21, 0)</f>
        <v>1</v>
      </c>
    </row>
    <row r="22">
      <c r="A22" s="8"/>
      <c r="B22" s="63" t="s">
        <v>59</v>
      </c>
      <c r="C22" s="32">
        <v>0.0</v>
      </c>
      <c r="D22" s="32">
        <v>0.0</v>
      </c>
      <c r="E22" s="24">
        <v>0.01</v>
      </c>
      <c r="F22" s="56">
        <v>0.0025</v>
      </c>
      <c r="G22" s="16">
        <f>sum(G15,G14,G12)*D22/E22*F22</f>
        <v>0</v>
      </c>
      <c r="I22" s="18"/>
      <c r="J22" s="16"/>
      <c r="K22" s="16"/>
      <c r="L22" s="16"/>
    </row>
    <row r="23">
      <c r="A23" s="64" t="s">
        <v>60</v>
      </c>
      <c r="B23" s="65" t="s">
        <v>61</v>
      </c>
      <c r="C23" s="12">
        <v>0.0</v>
      </c>
      <c r="D23" s="12">
        <v>0.0</v>
      </c>
      <c r="E23" s="16"/>
      <c r="F23" s="16"/>
      <c r="G23" s="16"/>
      <c r="I23" s="18"/>
      <c r="J23" s="16"/>
      <c r="K23" s="16"/>
      <c r="L23" s="16"/>
    </row>
    <row r="24">
      <c r="A24" s="18"/>
      <c r="B24" s="66" t="s">
        <v>62</v>
      </c>
      <c r="C24" s="12">
        <v>0.0</v>
      </c>
      <c r="D24" s="12">
        <v>0.0</v>
      </c>
      <c r="E24" s="16"/>
      <c r="F24" s="16"/>
      <c r="G24" s="16"/>
      <c r="I24" s="64" t="s">
        <v>60</v>
      </c>
      <c r="J24" s="62" t="s">
        <v>63</v>
      </c>
      <c r="K24" s="3"/>
      <c r="L24" s="67" t="str">
        <f>IF(L4&lt;=2, "Too Short",
   IF(L4&lt;=5, "Short",
      IF(L4&lt;=12, "Medium",
         IF(L4&lt;=20, "Long",
                    IF(L4&lt;99999, "Too Long",
               "Endless")))))</f>
        <v>Too Long</v>
      </c>
    </row>
    <row r="25">
      <c r="A25" s="18"/>
      <c r="B25" s="68" t="s">
        <v>64</v>
      </c>
      <c r="C25" s="12">
        <v>5.0</v>
      </c>
      <c r="D25" s="12">
        <v>5.0</v>
      </c>
      <c r="E25" s="16"/>
      <c r="F25" s="16"/>
      <c r="G25" s="16"/>
      <c r="I25" s="18"/>
      <c r="J25" s="69" t="s">
        <v>65</v>
      </c>
      <c r="K25" s="3"/>
      <c r="L25" s="27">
        <f>sum(G3:G11)</f>
        <v>160</v>
      </c>
    </row>
    <row r="26">
      <c r="A26" s="18"/>
      <c r="B26" s="68" t="s">
        <v>66</v>
      </c>
      <c r="C26" s="12">
        <v>0.2</v>
      </c>
      <c r="D26" s="12">
        <v>0.2</v>
      </c>
      <c r="E26" s="16"/>
      <c r="F26" s="16"/>
      <c r="G26" s="16"/>
      <c r="I26" s="18"/>
      <c r="J26" s="70" t="s">
        <v>67</v>
      </c>
      <c r="K26" s="3"/>
      <c r="L26" s="27">
        <f>sum(G12:G22)</f>
        <v>100</v>
      </c>
    </row>
    <row r="27">
      <c r="A27" s="18"/>
      <c r="B27" s="53" t="s">
        <v>68</v>
      </c>
      <c r="C27" s="12">
        <v>0.05</v>
      </c>
      <c r="D27" s="12">
        <v>0.05</v>
      </c>
      <c r="E27" s="16"/>
      <c r="F27" s="16"/>
      <c r="G27" s="16"/>
      <c r="I27" s="18"/>
      <c r="J27" s="71" t="s">
        <v>69</v>
      </c>
      <c r="K27" s="3"/>
      <c r="L27" s="44">
        <f>MAX(0, MIN(100, 50 + ((L26 - L25) / (ABS(L26) + ABS(L25) + 1)) * 50))/100</f>
        <v>0.3850574713</v>
      </c>
    </row>
    <row r="28">
      <c r="A28" s="8"/>
      <c r="B28" s="53" t="s">
        <v>70</v>
      </c>
      <c r="C28" s="12">
        <v>0.0</v>
      </c>
      <c r="D28" s="32">
        <f>MIN(0.5, MAX(0, 0.25 + (D13 - 1.6) * 0.15))
</f>
        <v>0.16</v>
      </c>
      <c r="E28" s="16"/>
      <c r="F28" s="16"/>
      <c r="G28" s="16"/>
      <c r="I28" s="8"/>
      <c r="J28" s="16"/>
      <c r="K28" s="16"/>
      <c r="L28" s="44"/>
    </row>
    <row r="29">
      <c r="A29" s="72"/>
      <c r="B29" s="73"/>
      <c r="C29" s="73"/>
      <c r="D29" s="74"/>
    </row>
    <row r="30">
      <c r="A30" s="72"/>
    </row>
    <row r="31">
      <c r="A31" s="72"/>
    </row>
  </sheetData>
  <mergeCells count="28">
    <mergeCell ref="J2:K2"/>
    <mergeCell ref="J3:K3"/>
    <mergeCell ref="J4:J6"/>
    <mergeCell ref="J7:J9"/>
    <mergeCell ref="J10:K10"/>
    <mergeCell ref="J11:K11"/>
    <mergeCell ref="I3:I14"/>
    <mergeCell ref="J12:K12"/>
    <mergeCell ref="J13:K13"/>
    <mergeCell ref="I15:I23"/>
    <mergeCell ref="J15:J17"/>
    <mergeCell ref="J18:K18"/>
    <mergeCell ref="J19:K19"/>
    <mergeCell ref="J20:K20"/>
    <mergeCell ref="J21:K21"/>
    <mergeCell ref="A23:A28"/>
    <mergeCell ref="I24:I28"/>
    <mergeCell ref="J24:K24"/>
    <mergeCell ref="J25:K25"/>
    <mergeCell ref="J26:K26"/>
    <mergeCell ref="J27:K27"/>
    <mergeCell ref="A1:D1"/>
    <mergeCell ref="E1:G1"/>
    <mergeCell ref="I1:L1"/>
    <mergeCell ref="N1:N2"/>
    <mergeCell ref="O1:P1"/>
    <mergeCell ref="A3:A11"/>
    <mergeCell ref="A12:A22"/>
  </mergeCells>
  <conditionalFormatting sqref="L24">
    <cfRule type="containsText" dxfId="0" priority="1" operator="containsText" text="Too Short">
      <formula>NOT(ISERROR(SEARCH(("Too Short"),(L24))))</formula>
    </cfRule>
  </conditionalFormatting>
  <conditionalFormatting sqref="L24">
    <cfRule type="containsText" dxfId="1" priority="2" operator="containsText" text="Short">
      <formula>NOT(ISERROR(SEARCH(("Short"),(L24))))</formula>
    </cfRule>
  </conditionalFormatting>
  <conditionalFormatting sqref="L24">
    <cfRule type="containsText" dxfId="2" priority="3" operator="containsText" text="Medium">
      <formula>NOT(ISERROR(SEARCH(("Medium"),(L24))))</formula>
    </cfRule>
  </conditionalFormatting>
  <conditionalFormatting sqref="L24">
    <cfRule type="containsText" dxfId="3" priority="4" operator="containsText" text="Long">
      <formula>NOT(ISERROR(SEARCH(("Long"),(L24))))</formula>
    </cfRule>
  </conditionalFormatting>
  <conditionalFormatting sqref="L24">
    <cfRule type="containsText" dxfId="4" priority="5" operator="containsText" text="Too Long">
      <formula>NOT(ISERROR(SEARCH(("Too Long"),(L24))))</formula>
    </cfRule>
  </conditionalFormatting>
  <conditionalFormatting sqref="L24">
    <cfRule type="containsText" dxfId="5" priority="6" operator="containsText" text="Endless">
      <formula>NOT(ISERROR(SEARCH(("Endless"),(L24))))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10" max="10" width="30.13"/>
    <col customWidth="1" min="11" max="11" width="17.13"/>
  </cols>
  <sheetData>
    <row r="1">
      <c r="A1" s="1" t="s">
        <v>0</v>
      </c>
      <c r="B1" s="2"/>
      <c r="C1" s="2"/>
      <c r="D1" s="3"/>
      <c r="E1" s="1" t="s">
        <v>1</v>
      </c>
      <c r="F1" s="2"/>
      <c r="G1" s="3"/>
      <c r="I1" s="1" t="s">
        <v>2</v>
      </c>
      <c r="J1" s="2"/>
      <c r="K1" s="2"/>
      <c r="L1" s="3"/>
      <c r="N1" s="4" t="s">
        <v>3</v>
      </c>
      <c r="O1" s="1" t="s">
        <v>1</v>
      </c>
      <c r="P1" s="3"/>
    </row>
    <row r="2">
      <c r="A2" s="5" t="s">
        <v>4</v>
      </c>
      <c r="B2" s="6" t="s">
        <v>5</v>
      </c>
      <c r="C2" s="5" t="s">
        <v>6</v>
      </c>
      <c r="D2" s="6" t="s">
        <v>7</v>
      </c>
      <c r="E2" s="5" t="s">
        <v>8</v>
      </c>
      <c r="F2" s="5" t="s">
        <v>7</v>
      </c>
      <c r="G2" s="5" t="s">
        <v>9</v>
      </c>
      <c r="I2" s="5" t="s">
        <v>4</v>
      </c>
      <c r="J2" s="7" t="s">
        <v>5</v>
      </c>
      <c r="K2" s="3"/>
      <c r="L2" s="5" t="s">
        <v>7</v>
      </c>
      <c r="N2" s="8"/>
      <c r="O2" s="1" t="s">
        <v>10</v>
      </c>
      <c r="P2" s="9" t="s">
        <v>11</v>
      </c>
    </row>
    <row r="3">
      <c r="A3" s="10" t="s">
        <v>12</v>
      </c>
      <c r="B3" s="11" t="s">
        <v>13</v>
      </c>
      <c r="C3" s="12">
        <v>20.0</v>
      </c>
      <c r="D3" s="12">
        <v>600.0</v>
      </c>
      <c r="E3" s="13">
        <v>1.0</v>
      </c>
      <c r="F3" s="13">
        <v>20.0</v>
      </c>
      <c r="G3" s="14">
        <f t="shared" ref="G3:G4" si="1">F3*D3/E3</f>
        <v>12000</v>
      </c>
      <c r="I3" s="10" t="s">
        <v>12</v>
      </c>
      <c r="J3" s="15" t="s">
        <v>14</v>
      </c>
      <c r="K3" s="3"/>
      <c r="L3" s="16">
        <f>IF(L5&gt;=99999,99999,(FLOOR(L5/D27,1)*D5/D26*D27)*(1-D23))</f>
        <v>0</v>
      </c>
      <c r="N3" s="17" t="s">
        <v>15</v>
      </c>
      <c r="O3" s="13">
        <v>30000.0</v>
      </c>
      <c r="P3" s="13">
        <v>50000.0</v>
      </c>
    </row>
    <row r="4">
      <c r="A4" s="18"/>
      <c r="B4" s="19" t="s">
        <v>16</v>
      </c>
      <c r="C4" s="12">
        <v>0.0</v>
      </c>
      <c r="D4" s="12">
        <v>0.0</v>
      </c>
      <c r="E4" s="13">
        <v>1.0</v>
      </c>
      <c r="F4" s="13">
        <v>10.0</v>
      </c>
      <c r="G4" s="14">
        <f t="shared" si="1"/>
        <v>0</v>
      </c>
      <c r="I4" s="18"/>
      <c r="J4" s="20" t="s">
        <v>17</v>
      </c>
      <c r="K4" s="21" t="s">
        <v>18</v>
      </c>
      <c r="L4" s="22">
        <f>IF(L7&gt;=99999,99999,L7+(L15-1)*D28)</f>
        <v>127.84</v>
      </c>
      <c r="N4" s="17" t="s">
        <v>19</v>
      </c>
      <c r="O4" s="13">
        <v>20000.0</v>
      </c>
      <c r="P4" s="13">
        <v>30000.0</v>
      </c>
    </row>
    <row r="5">
      <c r="A5" s="18"/>
      <c r="B5" s="23" t="s">
        <v>20</v>
      </c>
      <c r="C5" s="12">
        <v>0.0</v>
      </c>
      <c r="D5" s="12">
        <v>0.0</v>
      </c>
      <c r="E5" s="24">
        <v>0.1</v>
      </c>
      <c r="F5" s="24">
        <v>0.1</v>
      </c>
      <c r="G5" s="14">
        <f>D5/D3/E5*F5*G3</f>
        <v>0</v>
      </c>
      <c r="I5" s="18"/>
      <c r="J5" s="18"/>
      <c r="K5" s="25" t="s">
        <v>21</v>
      </c>
      <c r="L5" s="22">
        <f>IF(L8&gt;=99999,99999,L8+(L16-1)*D28)</f>
        <v>127.84</v>
      </c>
      <c r="N5" s="17" t="s">
        <v>22</v>
      </c>
      <c r="O5" s="13">
        <v>12000.0</v>
      </c>
      <c r="P5" s="13">
        <v>20000.0</v>
      </c>
    </row>
    <row r="6">
      <c r="A6" s="18"/>
      <c r="B6" s="26" t="s">
        <v>23</v>
      </c>
      <c r="C6" s="12">
        <v>0.0</v>
      </c>
      <c r="D6" s="12">
        <v>20.0</v>
      </c>
      <c r="E6" s="13">
        <v>20.0</v>
      </c>
      <c r="F6" s="24">
        <v>0.4</v>
      </c>
      <c r="G6" s="27">
        <f>sum(G3,G4,G5)*F6*D6/E6</f>
        <v>4800</v>
      </c>
      <c r="I6" s="18"/>
      <c r="J6" s="8"/>
      <c r="K6" s="28" t="s">
        <v>24</v>
      </c>
      <c r="L6" s="29">
        <f>IF(L4&gt;=9999,99999,L4-L5)</f>
        <v>0</v>
      </c>
      <c r="N6" s="30" t="s">
        <v>25</v>
      </c>
      <c r="O6" s="13">
        <v>8000.0</v>
      </c>
      <c r="P6" s="13">
        <v>12000.0</v>
      </c>
    </row>
    <row r="7">
      <c r="A7" s="18"/>
      <c r="B7" s="26" t="s">
        <v>71</v>
      </c>
      <c r="C7" s="12">
        <v>0.0</v>
      </c>
      <c r="D7" s="12">
        <v>12.0</v>
      </c>
      <c r="E7" s="16"/>
      <c r="F7" s="16"/>
      <c r="G7" s="27"/>
      <c r="I7" s="18"/>
      <c r="J7" s="20" t="s">
        <v>27</v>
      </c>
      <c r="K7" s="21" t="s">
        <v>18</v>
      </c>
      <c r="L7" s="22">
        <f>IF(D5/D26&gt;L10,99999,L15/D14)</f>
        <v>121.8</v>
      </c>
      <c r="N7" s="33" t="s">
        <v>28</v>
      </c>
      <c r="O7" s="13">
        <f t="shared" ref="O7:O11" si="2">P8</f>
        <v>4000</v>
      </c>
      <c r="P7" s="13">
        <v>8000.0</v>
      </c>
    </row>
    <row r="8">
      <c r="A8" s="18"/>
      <c r="B8" s="31" t="s">
        <v>26</v>
      </c>
      <c r="C8" s="32">
        <v>0.0</v>
      </c>
      <c r="D8" s="32">
        <v>0.4</v>
      </c>
      <c r="E8" s="24">
        <v>0.01</v>
      </c>
      <c r="F8" s="37">
        <v>0.01</v>
      </c>
      <c r="G8" s="27">
        <f>sum(G3:G6)*D8/E8*F8</f>
        <v>6720</v>
      </c>
      <c r="I8" s="18"/>
      <c r="J8" s="18"/>
      <c r="K8" s="25" t="s">
        <v>21</v>
      </c>
      <c r="L8" s="22">
        <f>IF(L16&gt;=99999,99999,L16/D14)</f>
        <v>121.8</v>
      </c>
      <c r="N8" s="35" t="s">
        <v>30</v>
      </c>
      <c r="O8" s="13">
        <f t="shared" si="2"/>
        <v>2500</v>
      </c>
      <c r="P8" s="13">
        <v>4000.0</v>
      </c>
    </row>
    <row r="9">
      <c r="A9" s="18"/>
      <c r="B9" s="34" t="s">
        <v>29</v>
      </c>
      <c r="C9" s="32">
        <v>1.0</v>
      </c>
      <c r="D9" s="32">
        <v>1.0</v>
      </c>
      <c r="E9" s="16"/>
      <c r="F9" s="16"/>
      <c r="G9" s="27"/>
      <c r="I9" s="18"/>
      <c r="J9" s="8"/>
      <c r="K9" s="28" t="s">
        <v>24</v>
      </c>
      <c r="L9" s="29">
        <f>IF(L7&gt;=99999,99999,L7-L8)</f>
        <v>0</v>
      </c>
      <c r="N9" s="38" t="s">
        <v>32</v>
      </c>
      <c r="O9" s="13">
        <f t="shared" si="2"/>
        <v>2000</v>
      </c>
      <c r="P9" s="13">
        <v>2500.0</v>
      </c>
    </row>
    <row r="10">
      <c r="A10" s="18"/>
      <c r="B10" s="36" t="s">
        <v>31</v>
      </c>
      <c r="C10" s="12">
        <v>0.0</v>
      </c>
      <c r="D10" s="32">
        <v>0.0</v>
      </c>
      <c r="E10" s="24">
        <v>0.01</v>
      </c>
      <c r="F10" s="37">
        <v>0.005</v>
      </c>
      <c r="G10" s="27">
        <f>sum(G3:G6)*D10/E10*F10</f>
        <v>0</v>
      </c>
      <c r="I10" s="18"/>
      <c r="J10" s="40" t="s">
        <v>34</v>
      </c>
      <c r="K10" s="3"/>
      <c r="L10" s="29">
        <f>L18*(1-L11)*(1-D8)</f>
        <v>5.76</v>
      </c>
      <c r="N10" s="41" t="s">
        <v>35</v>
      </c>
      <c r="O10" s="13">
        <f t="shared" si="2"/>
        <v>1500</v>
      </c>
      <c r="P10" s="13">
        <v>2000.0</v>
      </c>
    </row>
    <row r="11">
      <c r="A11" s="18"/>
      <c r="B11" s="39" t="s">
        <v>33</v>
      </c>
      <c r="C11" s="32">
        <v>0.0</v>
      </c>
      <c r="D11" s="32">
        <v>0.0</v>
      </c>
      <c r="E11" s="16"/>
      <c r="F11" s="16"/>
      <c r="G11" s="27"/>
      <c r="I11" s="18"/>
      <c r="J11" s="43" t="s">
        <v>37</v>
      </c>
      <c r="K11" s="3"/>
      <c r="L11" s="44">
        <f>min(80,max(4/5*L12,4*L12-((16*D13)/(D7+8))))/100</f>
        <v>0.68</v>
      </c>
      <c r="N11" s="45" t="s">
        <v>38</v>
      </c>
      <c r="O11" s="13">
        <f t="shared" si="2"/>
        <v>1000</v>
      </c>
      <c r="P11" s="13">
        <v>1500.0</v>
      </c>
    </row>
    <row r="12">
      <c r="A12" s="8"/>
      <c r="B12" s="42" t="s">
        <v>36</v>
      </c>
      <c r="C12" s="32">
        <v>0.0</v>
      </c>
      <c r="D12" s="32">
        <v>0.0</v>
      </c>
      <c r="E12" s="16"/>
      <c r="F12" s="16"/>
      <c r="G12" s="27"/>
      <c r="I12" s="18"/>
      <c r="J12" s="48" t="s">
        <v>41</v>
      </c>
      <c r="K12" s="3"/>
      <c r="L12" s="16">
        <f>D6*(1-D17)</f>
        <v>20</v>
      </c>
      <c r="N12" s="49" t="s">
        <v>42</v>
      </c>
      <c r="O12" s="13">
        <v>0.0</v>
      </c>
      <c r="P12" s="13">
        <v>1000.0</v>
      </c>
    </row>
    <row r="13">
      <c r="A13" s="46" t="s">
        <v>39</v>
      </c>
      <c r="B13" s="47" t="s">
        <v>40</v>
      </c>
      <c r="C13" s="12">
        <v>1.0</v>
      </c>
      <c r="D13" s="12">
        <v>15.0</v>
      </c>
      <c r="E13" s="13">
        <v>1.0</v>
      </c>
      <c r="F13" s="13">
        <v>100.0</v>
      </c>
      <c r="G13" s="14">
        <f>IF(D14&gt;1,F13*D14*D13/E13,F13*D14*D13/E13*F14)</f>
        <v>1312.5</v>
      </c>
      <c r="I13" s="18"/>
      <c r="J13" s="51" t="s">
        <v>44</v>
      </c>
      <c r="K13" s="3"/>
      <c r="L13" s="16">
        <f>D3+D4</f>
        <v>600</v>
      </c>
    </row>
    <row r="14">
      <c r="A14" s="18"/>
      <c r="B14" s="50" t="s">
        <v>43</v>
      </c>
      <c r="C14" s="12">
        <v>4.0</v>
      </c>
      <c r="D14" s="12">
        <v>1.0</v>
      </c>
      <c r="E14" s="16"/>
      <c r="F14" s="13">
        <v>0.875</v>
      </c>
      <c r="G14" s="27"/>
      <c r="I14" s="18"/>
      <c r="J14" s="16"/>
      <c r="K14" s="16"/>
      <c r="L14" s="16"/>
    </row>
    <row r="15">
      <c r="A15" s="18"/>
      <c r="B15" s="52" t="s">
        <v>45</v>
      </c>
      <c r="C15" s="12">
        <v>2.0</v>
      </c>
      <c r="D15" s="12">
        <v>2.0</v>
      </c>
      <c r="E15" s="16"/>
      <c r="F15" s="16"/>
      <c r="G15" s="27">
        <f>(D15-2)*G16</f>
        <v>0</v>
      </c>
      <c r="I15" s="46" t="s">
        <v>39</v>
      </c>
      <c r="J15" s="54" t="s">
        <v>47</v>
      </c>
      <c r="K15" s="21" t="s">
        <v>18</v>
      </c>
      <c r="L15" s="29">
        <f>IF(L10&lt;=0,99999,CEILING(((L13+L3)/L10),1)*(1+D29))</f>
        <v>121.8</v>
      </c>
    </row>
    <row r="16">
      <c r="A16" s="18"/>
      <c r="B16" s="53" t="s">
        <v>46</v>
      </c>
      <c r="C16" s="32">
        <v>0.0</v>
      </c>
      <c r="D16" s="32">
        <v>1.0</v>
      </c>
      <c r="E16" s="16"/>
      <c r="F16" s="16"/>
      <c r="G16" s="27">
        <f>G13*D16</f>
        <v>1312.5</v>
      </c>
      <c r="I16" s="18"/>
      <c r="J16" s="18"/>
      <c r="K16" s="25" t="s">
        <v>21</v>
      </c>
      <c r="L16" s="29">
        <f>IF(L10&lt;=0,99999,CEILING(L13/L10,1)*(1+D29))</f>
        <v>121.8</v>
      </c>
    </row>
    <row r="17">
      <c r="A17" s="18"/>
      <c r="B17" s="55" t="s">
        <v>48</v>
      </c>
      <c r="C17" s="32">
        <v>0.0</v>
      </c>
      <c r="D17" s="32">
        <v>0.0</v>
      </c>
      <c r="E17" s="24">
        <v>0.01</v>
      </c>
      <c r="F17" s="56">
        <v>0.03</v>
      </c>
      <c r="G17" s="27">
        <f>sum(G13:G16)*D17/E17*F17</f>
        <v>0</v>
      </c>
      <c r="I17" s="18"/>
      <c r="J17" s="8"/>
      <c r="K17" s="58" t="s">
        <v>50</v>
      </c>
      <c r="L17" s="29">
        <f>L15-L16</f>
        <v>0</v>
      </c>
    </row>
    <row r="18">
      <c r="A18" s="18"/>
      <c r="B18" s="57" t="s">
        <v>49</v>
      </c>
      <c r="C18" s="32">
        <v>0.0</v>
      </c>
      <c r="D18" s="32">
        <v>0.0</v>
      </c>
      <c r="E18" s="16"/>
      <c r="F18" s="16"/>
      <c r="G18" s="16"/>
      <c r="I18" s="18"/>
      <c r="J18" s="43" t="s">
        <v>52</v>
      </c>
      <c r="K18" s="3"/>
      <c r="L18" s="16">
        <f>IF(L21&lt;=0,0,L19*(1+((D15-1)*D16))*(L21))</f>
        <v>30</v>
      </c>
    </row>
    <row r="19">
      <c r="A19" s="18"/>
      <c r="B19" s="41" t="s">
        <v>51</v>
      </c>
      <c r="C19" s="12">
        <v>3.0</v>
      </c>
      <c r="D19" s="12">
        <v>3.0</v>
      </c>
      <c r="E19" s="16"/>
      <c r="F19" s="16"/>
      <c r="G19" s="16"/>
      <c r="I19" s="18"/>
      <c r="J19" s="59" t="s">
        <v>54</v>
      </c>
      <c r="K19" s="3"/>
      <c r="L19" s="16">
        <f>D13*D14</f>
        <v>15</v>
      </c>
    </row>
    <row r="20">
      <c r="A20" s="18"/>
      <c r="B20" s="41" t="s">
        <v>53</v>
      </c>
      <c r="C20" s="12">
        <v>0.0</v>
      </c>
      <c r="D20" s="12">
        <v>0.0</v>
      </c>
      <c r="E20" s="16"/>
      <c r="F20" s="16"/>
      <c r="G20" s="16"/>
      <c r="I20" s="18"/>
      <c r="J20" s="43" t="s">
        <v>56</v>
      </c>
      <c r="K20" s="3"/>
      <c r="L20" s="16">
        <f>L18*D18</f>
        <v>0</v>
      </c>
    </row>
    <row r="21">
      <c r="A21" s="18"/>
      <c r="B21" s="60" t="s">
        <v>55</v>
      </c>
      <c r="C21" s="32">
        <v>0.0</v>
      </c>
      <c r="D21" s="32">
        <v>0.0</v>
      </c>
      <c r="E21" s="16"/>
      <c r="F21" s="16"/>
      <c r="G21" s="16"/>
      <c r="I21" s="18"/>
      <c r="J21" s="62" t="s">
        <v>58</v>
      </c>
      <c r="K21" s="3"/>
      <c r="L21" s="44">
        <f>MAX(1-D10+D22, 0)</f>
        <v>1</v>
      </c>
    </row>
    <row r="22">
      <c r="A22" s="18"/>
      <c r="B22" s="61" t="s">
        <v>57</v>
      </c>
      <c r="C22" s="32">
        <v>0.0</v>
      </c>
      <c r="D22" s="32">
        <v>0.0</v>
      </c>
      <c r="E22" s="24">
        <v>0.01</v>
      </c>
      <c r="F22" s="37">
        <v>0.005</v>
      </c>
      <c r="G22" s="14">
        <f>SUM(G13,G15,G16)*D22/E22*F22</f>
        <v>0</v>
      </c>
      <c r="I22" s="18"/>
      <c r="J22" s="16"/>
      <c r="K22" s="16"/>
      <c r="L22" s="16"/>
    </row>
    <row r="23">
      <c r="A23" s="8"/>
      <c r="B23" s="63" t="s">
        <v>59</v>
      </c>
      <c r="C23" s="32">
        <v>0.0</v>
      </c>
      <c r="D23" s="32">
        <v>0.0</v>
      </c>
      <c r="E23" s="24">
        <v>0.01</v>
      </c>
      <c r="F23" s="56">
        <v>0.0025</v>
      </c>
      <c r="G23" s="16">
        <f>sum(G16,G15,G13)*D23/E23*F23</f>
        <v>0</v>
      </c>
      <c r="I23" s="18"/>
      <c r="J23" s="16"/>
      <c r="K23" s="16"/>
      <c r="L23" s="16"/>
    </row>
    <row r="24">
      <c r="A24" s="64" t="s">
        <v>60</v>
      </c>
      <c r="B24" s="65" t="s">
        <v>61</v>
      </c>
      <c r="C24" s="12">
        <v>0.0</v>
      </c>
      <c r="D24" s="12">
        <v>0.0</v>
      </c>
      <c r="E24" s="16"/>
      <c r="F24" s="16"/>
      <c r="G24" s="16"/>
      <c r="I24" s="64" t="s">
        <v>60</v>
      </c>
      <c r="J24" s="62" t="s">
        <v>63</v>
      </c>
      <c r="K24" s="3"/>
      <c r="L24" s="67" t="str">
        <f>IF(L4&lt;=2, "Too Short",
   IF(L4&lt;=5, "Short",
      IF(L4&lt;=12, "Medium",
         IF(L4&lt;=20, "Long",
                    IF(L4&lt;99999, "Too Long",
               "Endless")))))</f>
        <v>Too Long</v>
      </c>
    </row>
    <row r="25">
      <c r="A25" s="18"/>
      <c r="B25" s="66" t="s">
        <v>62</v>
      </c>
      <c r="C25" s="12">
        <v>0.0</v>
      </c>
      <c r="D25" s="12">
        <v>0.0</v>
      </c>
      <c r="E25" s="16"/>
      <c r="F25" s="16"/>
      <c r="G25" s="16"/>
      <c r="I25" s="18"/>
      <c r="J25" s="69" t="s">
        <v>65</v>
      </c>
      <c r="K25" s="3"/>
      <c r="L25" s="27">
        <f>sum(G3:G12)</f>
        <v>23520</v>
      </c>
    </row>
    <row r="26">
      <c r="A26" s="18"/>
      <c r="B26" s="68" t="s">
        <v>64</v>
      </c>
      <c r="C26" s="12">
        <v>5.0</v>
      </c>
      <c r="D26" s="12">
        <v>5.0</v>
      </c>
      <c r="E26" s="16"/>
      <c r="F26" s="16"/>
      <c r="G26" s="16"/>
      <c r="I26" s="18"/>
      <c r="J26" s="70" t="s">
        <v>67</v>
      </c>
      <c r="K26" s="3"/>
      <c r="L26" s="27">
        <f>sum(G13:G23)</f>
        <v>2625</v>
      </c>
    </row>
    <row r="27">
      <c r="A27" s="18"/>
      <c r="B27" s="68" t="s">
        <v>66</v>
      </c>
      <c r="C27" s="12">
        <v>0.2</v>
      </c>
      <c r="D27" s="12">
        <v>0.2</v>
      </c>
      <c r="E27" s="16"/>
      <c r="F27" s="16"/>
      <c r="G27" s="16"/>
      <c r="I27" s="18"/>
      <c r="J27" s="71" t="s">
        <v>69</v>
      </c>
      <c r="K27" s="3"/>
      <c r="L27" s="44">
        <f>MAX(0, MIN(100, 50 + ((L26 - L25) / (ABS(L26) + ABS(L25) + 1)) * 50))/100</f>
        <v>0.1004168898</v>
      </c>
    </row>
    <row r="28">
      <c r="A28" s="18"/>
      <c r="B28" s="53" t="s">
        <v>68</v>
      </c>
      <c r="C28" s="12">
        <v>0.05</v>
      </c>
      <c r="D28" s="12">
        <v>0.05</v>
      </c>
      <c r="E28" s="16"/>
      <c r="F28" s="16"/>
      <c r="G28" s="16"/>
      <c r="I28" s="8"/>
      <c r="J28" s="16"/>
      <c r="K28" s="16"/>
      <c r="L28" s="44"/>
    </row>
    <row r="29">
      <c r="A29" s="8"/>
      <c r="B29" s="53" t="s">
        <v>70</v>
      </c>
      <c r="C29" s="12">
        <v>0.0</v>
      </c>
      <c r="D29" s="32">
        <f>MIN(0.5, MAX(0, 0.25 + (D14 - 1.6) * 0.15))
</f>
        <v>0.16</v>
      </c>
      <c r="E29" s="16"/>
      <c r="F29" s="16"/>
      <c r="G29" s="16"/>
    </row>
    <row r="30">
      <c r="A30" s="72"/>
      <c r="B30" s="73"/>
      <c r="C30" s="73"/>
      <c r="D30" s="74"/>
    </row>
    <row r="31">
      <c r="A31" s="72"/>
    </row>
  </sheetData>
  <mergeCells count="28">
    <mergeCell ref="J2:K2"/>
    <mergeCell ref="J3:K3"/>
    <mergeCell ref="J4:J6"/>
    <mergeCell ref="J7:J9"/>
    <mergeCell ref="I15:I23"/>
    <mergeCell ref="J15:J17"/>
    <mergeCell ref="I24:I28"/>
    <mergeCell ref="A3:A12"/>
    <mergeCell ref="A13:A23"/>
    <mergeCell ref="A24:A29"/>
    <mergeCell ref="A1:D1"/>
    <mergeCell ref="E1:G1"/>
    <mergeCell ref="I1:L1"/>
    <mergeCell ref="N1:N2"/>
    <mergeCell ref="O1:P1"/>
    <mergeCell ref="I3:I14"/>
    <mergeCell ref="J12:K12"/>
    <mergeCell ref="J13:K13"/>
    <mergeCell ref="J25:K25"/>
    <mergeCell ref="J26:K26"/>
    <mergeCell ref="J27:K27"/>
    <mergeCell ref="J10:K10"/>
    <mergeCell ref="J11:K11"/>
    <mergeCell ref="J18:K18"/>
    <mergeCell ref="J19:K19"/>
    <mergeCell ref="J20:K20"/>
    <mergeCell ref="J21:K21"/>
    <mergeCell ref="J24:K24"/>
  </mergeCells>
  <conditionalFormatting sqref="L24">
    <cfRule type="containsText" dxfId="0" priority="1" operator="containsText" text="Too Short">
      <formula>NOT(ISERROR(SEARCH(("Too Short"),(L24))))</formula>
    </cfRule>
  </conditionalFormatting>
  <conditionalFormatting sqref="L24">
    <cfRule type="containsText" dxfId="1" priority="2" operator="containsText" text="Short">
      <formula>NOT(ISERROR(SEARCH(("Short"),(L24))))</formula>
    </cfRule>
  </conditionalFormatting>
  <conditionalFormatting sqref="L24">
    <cfRule type="containsText" dxfId="2" priority="3" operator="containsText" text="Medium">
      <formula>NOT(ISERROR(SEARCH(("Medium"),(L24))))</formula>
    </cfRule>
  </conditionalFormatting>
  <conditionalFormatting sqref="L24">
    <cfRule type="containsText" dxfId="3" priority="4" operator="containsText" text="Long">
      <formula>NOT(ISERROR(SEARCH(("Long"),(L24))))</formula>
    </cfRule>
  </conditionalFormatting>
  <conditionalFormatting sqref="L24">
    <cfRule type="containsText" dxfId="4" priority="5" operator="containsText" text="Too Long">
      <formula>NOT(ISERROR(SEARCH(("Too Long"),(L24))))</formula>
    </cfRule>
  </conditionalFormatting>
  <conditionalFormatting sqref="L24">
    <cfRule type="containsText" dxfId="5" priority="6" operator="containsText" text="Endless">
      <formula>NOT(ISERROR(SEARCH(("Endless"),(L24))))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63"/>
    <col customWidth="1" min="4" max="4" width="12.13"/>
  </cols>
  <sheetData>
    <row r="1">
      <c r="A1" s="7" t="s">
        <v>72</v>
      </c>
      <c r="B1" s="3"/>
      <c r="C1" s="75" t="s">
        <v>73</v>
      </c>
      <c r="D1" s="76" t="s">
        <v>74</v>
      </c>
      <c r="E1" s="77" t="s">
        <v>75</v>
      </c>
      <c r="F1" s="78" t="s">
        <v>76</v>
      </c>
      <c r="G1" s="79" t="s">
        <v>77</v>
      </c>
      <c r="H1" s="80" t="s">
        <v>78</v>
      </c>
      <c r="I1" s="81" t="s">
        <v>79</v>
      </c>
      <c r="J1" s="82" t="s">
        <v>80</v>
      </c>
    </row>
    <row r="2" ht="35.25" customHeight="1">
      <c r="A2" s="83" t="s">
        <v>81</v>
      </c>
      <c r="B2" s="3"/>
      <c r="C2" s="84" t="s">
        <v>82</v>
      </c>
      <c r="D2" s="84" t="s">
        <v>83</v>
      </c>
      <c r="E2" s="84" t="s">
        <v>84</v>
      </c>
      <c r="F2" s="84" t="s">
        <v>85</v>
      </c>
      <c r="G2" s="84" t="s">
        <v>86</v>
      </c>
      <c r="H2" s="84" t="s">
        <v>87</v>
      </c>
      <c r="I2" s="84" t="s">
        <v>88</v>
      </c>
      <c r="J2" s="84" t="s">
        <v>89</v>
      </c>
    </row>
    <row r="3">
      <c r="A3" s="85" t="s">
        <v>90</v>
      </c>
      <c r="B3" s="86">
        <v>1.0</v>
      </c>
      <c r="C3" s="13">
        <f t="shared" ref="C3:J3" si="1">$B$3</f>
        <v>1</v>
      </c>
      <c r="D3" s="13">
        <f t="shared" si="1"/>
        <v>1</v>
      </c>
      <c r="E3" s="13">
        <f t="shared" si="1"/>
        <v>1</v>
      </c>
      <c r="F3" s="13">
        <f t="shared" si="1"/>
        <v>1</v>
      </c>
      <c r="G3" s="13">
        <f t="shared" si="1"/>
        <v>1</v>
      </c>
      <c r="H3" s="13">
        <f t="shared" si="1"/>
        <v>1</v>
      </c>
      <c r="I3" s="13">
        <f t="shared" si="1"/>
        <v>1</v>
      </c>
      <c r="J3" s="13">
        <f t="shared" si="1"/>
        <v>1</v>
      </c>
    </row>
    <row r="4">
      <c r="A4" s="87" t="s">
        <v>13</v>
      </c>
      <c r="B4" s="88" t="s">
        <v>91</v>
      </c>
      <c r="C4" s="13">
        <v>20.0</v>
      </c>
      <c r="D4" s="13">
        <v>30.0</v>
      </c>
      <c r="E4" s="13">
        <v>10.0</v>
      </c>
      <c r="F4" s="13">
        <v>10.0</v>
      </c>
      <c r="G4" s="13">
        <v>30.0</v>
      </c>
      <c r="H4" s="13">
        <v>10.0</v>
      </c>
      <c r="I4" s="13">
        <v>20.0</v>
      </c>
      <c r="J4" s="13">
        <v>20.0</v>
      </c>
    </row>
    <row r="5">
      <c r="A5" s="18"/>
      <c r="B5" s="88" t="s">
        <v>8</v>
      </c>
      <c r="C5" s="13">
        <v>10.0</v>
      </c>
      <c r="D5" s="13">
        <v>10.0</v>
      </c>
      <c r="E5" s="13">
        <v>10.0</v>
      </c>
      <c r="F5" s="13">
        <v>10.0</v>
      </c>
      <c r="G5" s="13">
        <v>10.0</v>
      </c>
      <c r="H5" s="13">
        <v>10.0</v>
      </c>
      <c r="I5" s="13">
        <v>10.0</v>
      </c>
      <c r="J5" s="13">
        <v>10.0</v>
      </c>
    </row>
    <row r="6">
      <c r="A6" s="8"/>
      <c r="B6" s="89" t="s">
        <v>9</v>
      </c>
      <c r="C6" s="16">
        <f t="shared" ref="C6:J6" si="2">C$4+C$5*(C$3-1)</f>
        <v>20</v>
      </c>
      <c r="D6" s="16">
        <f t="shared" si="2"/>
        <v>30</v>
      </c>
      <c r="E6" s="16">
        <f t="shared" si="2"/>
        <v>10</v>
      </c>
      <c r="F6" s="16">
        <f t="shared" si="2"/>
        <v>10</v>
      </c>
      <c r="G6" s="16">
        <f t="shared" si="2"/>
        <v>30</v>
      </c>
      <c r="H6" s="16">
        <f t="shared" si="2"/>
        <v>10</v>
      </c>
      <c r="I6" s="16">
        <f t="shared" si="2"/>
        <v>20</v>
      </c>
      <c r="J6" s="16">
        <f t="shared" si="2"/>
        <v>20</v>
      </c>
    </row>
  </sheetData>
  <mergeCells count="3">
    <mergeCell ref="A1:B1"/>
    <mergeCell ref="A2:B2"/>
    <mergeCell ref="A4:A6"/>
  </mergeCells>
  <dataValidations>
    <dataValidation type="list" allowBlank="1" showErrorMessage="1" sqref="C2:J2">
      <formula1>"Tank,Rage,Ranged,Curse,Control,Magic"</formula1>
    </dataValidation>
  </dataValidations>
  <drawing r:id="rId1"/>
</worksheet>
</file>